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ALIYA'S FOLDER\Aliya Belajar\MySkill\Basic Ms Excel\"/>
    </mc:Choice>
  </mc:AlternateContent>
  <xr:revisionPtr revIDLastSave="0" documentId="13_ncr:1_{AF2A5F7D-0AB2-4CA7-B6A4-6057D0FD5E5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tes" sheetId="1" r:id="rId1"/>
    <sheet name="Transaksi Q3" sheetId="2" r:id="rId2"/>
    <sheet name="Data Penyewa" sheetId="3" r:id="rId3"/>
  </sheets>
  <definedNames>
    <definedName name="nama">'Data Penyewa'!$B$2:$C$25</definedName>
    <definedName name="tb_acuan">'Data Penyewa'!$A$2:$C$25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pDT3BDcABahwJlM6nuBHI2F/uYA==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</calcChain>
</file>

<file path=xl/sharedStrings.xml><?xml version="1.0" encoding="utf-8"?>
<sst xmlns="http://schemas.openxmlformats.org/spreadsheetml/2006/main" count="193" uniqueCount="109">
  <si>
    <t>Data Penyewaa Kost "UpSkill" Q3 2022</t>
  </si>
  <si>
    <r>
      <rPr>
        <b/>
        <sz val="10"/>
        <color rgb="FFFF0000"/>
        <rFont val="Roboto"/>
      </rPr>
      <t>DOWNLOAD LAH DATA SET BERIKUT INI UNTUK DAPAT MENGEDIT DAN MELAKUKAN PRAKTEK PADA MS. EXCEL DI DEVICE MASING-MASING.</t>
    </r>
    <r>
      <rPr>
        <sz val="10"/>
        <color theme="1"/>
        <rFont val="Roboto"/>
      </rPr>
      <t xml:space="preserve"> 
DENGAN CARA 
1. KLIK FILE PADA SEBELAH KANAN ATAS (DIBAWAH JUDUL PRACTICE BASIC EXCEL) 
2. KLIK DOWNLOAD 
3. KLIK MICROSOFT EXCEL (.XLSX)</t>
    </r>
  </si>
  <si>
    <t>Cara mengerjakan:</t>
  </si>
  <si>
    <t>1. Merapihkan data agar dapat dilakukan formatting yang sesuai dengan ketentuan</t>
  </si>
  <si>
    <t>2. Mengisi data pada kolom berwarna abu-abu sesuai dengan petunjuk pengerjaan</t>
  </si>
  <si>
    <t>Ketentuan formatting:</t>
  </si>
  <si>
    <t>1. Kolom "Tanggal Sewa" menampilkan penanggalan dalam format dd/mm/yyyy</t>
  </si>
  <si>
    <t>2. Nama penyewa pada kolom "Nama" menggunakan huruf kapital di huruf pertama dan diikuti huruf kecil (contoh: Kevin, Sophie)</t>
  </si>
  <si>
    <t>3. Kolom "Biaya" menggunakan simbol Rp dan koma (,) sebagai pemisah ribuan --&gt; Rp 2,000,000</t>
  </si>
  <si>
    <t>4. Kolom "Durasi Sewa" menggunakan formatting nomor dengan menggunakan keterangan "bln" --&gt; 3 bln</t>
  </si>
  <si>
    <t>5. Kolom "Total Biaya" adalah kolom "Biaya" dikalikan dengan "Durasi Sewa", dilakukan formatting yang sama seperti kolom "Biaya"</t>
  </si>
  <si>
    <t>6. Format penomoran invoice adalah 00{Tanggal Sewa}/{Lantai}{Tipe Kamar}/{Nomor Kamar} --&gt; 0044834/L2C/201</t>
  </si>
  <si>
    <t>7. Format password wifi adalah {Nomor Kamar}-{Nama} --&gt; 201-Andika</t>
  </si>
  <si>
    <t>Informasi tambahan:</t>
  </si>
  <si>
    <t>Kolom "Nomor HP" diambil dari data pada sheet "Data Penyewa"</t>
  </si>
  <si>
    <t>Good Luck!</t>
  </si>
  <si>
    <t>Adib - Telegram: @nfladibe</t>
  </si>
  <si>
    <t>Tanggal Sewa</t>
  </si>
  <si>
    <t>Nama</t>
  </si>
  <si>
    <t>Nomor Hp</t>
  </si>
  <si>
    <t>Lantai</t>
  </si>
  <si>
    <t>Tipe Kamar</t>
  </si>
  <si>
    <t>Nomor Kamar</t>
  </si>
  <si>
    <t>Biaya</t>
  </si>
  <si>
    <t>Durasi Sewa</t>
  </si>
  <si>
    <t>Total Biaya</t>
  </si>
  <si>
    <t>Nomor Invoice</t>
  </si>
  <si>
    <t>Password wifi</t>
  </si>
  <si>
    <t>Andika</t>
  </si>
  <si>
    <t>L2</t>
  </si>
  <si>
    <t>C</t>
  </si>
  <si>
    <t>Michael</t>
  </si>
  <si>
    <t>L1</t>
  </si>
  <si>
    <t>A</t>
  </si>
  <si>
    <t>L3</t>
  </si>
  <si>
    <t>D</t>
  </si>
  <si>
    <t>Fitri</t>
  </si>
  <si>
    <t>Agam</t>
  </si>
  <si>
    <t>Amanda</t>
  </si>
  <si>
    <t>Putra</t>
  </si>
  <si>
    <t>Bagas</t>
  </si>
  <si>
    <t>Dimas</t>
  </si>
  <si>
    <t>B</t>
  </si>
  <si>
    <t>Diana</t>
  </si>
  <si>
    <t>Reza</t>
  </si>
  <si>
    <t>Putri</t>
  </si>
  <si>
    <t>Dani</t>
  </si>
  <si>
    <t>Rizki</t>
  </si>
  <si>
    <t>Tika</t>
  </si>
  <si>
    <t>Nugroho</t>
  </si>
  <si>
    <t>Bagus</t>
  </si>
  <si>
    <t>Ahmad</t>
  </si>
  <si>
    <t>Angga</t>
  </si>
  <si>
    <t>RecordID</t>
  </si>
  <si>
    <t>No. Hp</t>
  </si>
  <si>
    <t>rec98kgQaXaL9KjgP</t>
  </si>
  <si>
    <t>+628110083240</t>
  </si>
  <si>
    <t>recNzHd5a8Pux1dOc</t>
  </si>
  <si>
    <t>+628121234890</t>
  </si>
  <si>
    <t>recOIIYcwFt15OYDW</t>
  </si>
  <si>
    <t>Adit</t>
  </si>
  <si>
    <t>+6285169943560</t>
  </si>
  <si>
    <t>recoIIcM1yd0vOAVq</t>
  </si>
  <si>
    <t>Rini</t>
  </si>
  <si>
    <t>+6285890054696</t>
  </si>
  <si>
    <t>rec5DtYbFpJKGf3Nq</t>
  </si>
  <si>
    <t>+6285711874251</t>
  </si>
  <si>
    <t>recc2gQbGVU0mrNcR</t>
  </si>
  <si>
    <t>+6281994640302</t>
  </si>
  <si>
    <t>recngHks7hAjfx1CU</t>
  </si>
  <si>
    <t>+628119856351</t>
  </si>
  <si>
    <t>recIbYErtxTPZREkK</t>
  </si>
  <si>
    <t>Rama</t>
  </si>
  <si>
    <t>+6285734105670</t>
  </si>
  <si>
    <t>rec5FBXKz5ks4hnJ5</t>
  </si>
  <si>
    <t>+6285293394640</t>
  </si>
  <si>
    <t>recVmxU38hqfwGuej</t>
  </si>
  <si>
    <t>+6281909964343</t>
  </si>
  <si>
    <t>recNuxBe8xcXb8Wns</t>
  </si>
  <si>
    <t>+6281904934551</t>
  </si>
  <si>
    <t>recKjSlFgLcta2kKb</t>
  </si>
  <si>
    <t>+6282134088090</t>
  </si>
  <si>
    <t>recgZDUNYK3o5Pffz</t>
  </si>
  <si>
    <t>+628124670999</t>
  </si>
  <si>
    <t>recpnLczItxuoyISM</t>
  </si>
  <si>
    <t>+628551917774</t>
  </si>
  <si>
    <t>rec3s6oQp9Hq1EcrU</t>
  </si>
  <si>
    <t>+6285691334640</t>
  </si>
  <si>
    <t>rec4xnt1Sisr932oa</t>
  </si>
  <si>
    <t>+6285156224546</t>
  </si>
  <si>
    <t>recQ3aLg7KbUmiCLK</t>
  </si>
  <si>
    <t>+6285822904832</t>
  </si>
  <si>
    <t>recHrsP4OSbABBktH</t>
  </si>
  <si>
    <t>Dewi</t>
  </si>
  <si>
    <t>+6282157212140</t>
  </si>
  <si>
    <t>rectsS1wzQ40M6BZB</t>
  </si>
  <si>
    <t>+6285156384850</t>
  </si>
  <si>
    <t>recBPFZcohJCMNxEi</t>
  </si>
  <si>
    <t>+6281992904319</t>
  </si>
  <si>
    <t>recBZ4TCoPGJiZKqF</t>
  </si>
  <si>
    <t>Citra</t>
  </si>
  <si>
    <t>+6281242214391</t>
  </si>
  <si>
    <t>recE0pxhUk4EeVgdY</t>
  </si>
  <si>
    <t>+6285288906670</t>
  </si>
  <si>
    <t>recPAYmGQQauj3OkF</t>
  </si>
  <si>
    <t>Hadi</t>
  </si>
  <si>
    <t>+6281959903120</t>
  </si>
  <si>
    <t>recahCj7AZwvSAeOf</t>
  </si>
  <si>
    <t>+6285825493938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</si>
</sst>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[$Rp]#,##0"/>
    <numFmt numFmtId="165" formatCode="dd&quot;/&quot;mm&quot;/&quot;yyyy"/>
    <numFmt numFmtId="168" formatCode="[$-13809]dd/mm/yyyy;@"/>
    <numFmt numFmtId="169" formatCode="#,##0\ &quot;bln&quot;"/>
  </numFmts>
  <fonts count="6" x14ac:knownFonts="1">
    <font>
      <sz val="10"/>
      <color rgb="FF000000"/>
      <name val="Arial"/>
      <scheme val="minor"/>
    </font>
    <font>
      <b/>
      <sz val="12"/>
      <color theme="1"/>
      <name val="Roboto"/>
    </font>
    <font>
      <sz val="10"/>
      <color theme="1"/>
      <name val="Roboto"/>
    </font>
    <font>
      <b/>
      <sz val="10"/>
      <color theme="1"/>
      <name val="Roboto"/>
    </font>
    <font>
      <b/>
      <sz val="10"/>
      <color rgb="FFFF0000"/>
      <name val="Roboto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5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/>
    <xf numFmtId="3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/>
    <xf numFmtId="14" fontId="2" fillId="0" borderId="0" xfId="0" applyNumberFormat="1" applyFont="1"/>
    <xf numFmtId="168" fontId="2" fillId="0" borderId="0" xfId="0" applyNumberFormat="1" applyFont="1"/>
    <xf numFmtId="14" fontId="2" fillId="0" borderId="0" xfId="0" applyNumberFormat="1" applyFont="1" applyAlignment="1">
      <alignment horizontal="right"/>
    </xf>
    <xf numFmtId="14" fontId="2" fillId="0" borderId="0" xfId="0" quotePrefix="1" applyNumberFormat="1" applyFont="1" applyAlignment="1">
      <alignment horizontal="right"/>
    </xf>
    <xf numFmtId="41" fontId="2" fillId="0" borderId="0" xfId="1" applyFont="1"/>
    <xf numFmtId="169" fontId="2" fillId="0" borderId="0" xfId="0" applyNumberFormat="1" applyFont="1"/>
    <xf numFmtId="0" fontId="3" fillId="0" borderId="0" xfId="0" applyNumberFormat="1" applyFont="1" applyAlignment="1">
      <alignment horizontal="center"/>
    </xf>
    <xf numFmtId="0" fontId="0" fillId="0" borderId="0" xfId="0" applyNumberFormat="1"/>
    <xf numFmtId="41" fontId="2" fillId="2" borderId="0" xfId="0" applyNumberFormat="1" applyFont="1" applyFill="1" applyAlignment="1">
      <alignment horizontal="right"/>
    </xf>
    <xf numFmtId="0" fontId="2" fillId="2" borderId="0" xfId="0" applyNumberFormat="1" applyFont="1" applyFill="1"/>
    <xf numFmtId="0" fontId="2" fillId="2" borderId="0" xfId="0" applyNumberFormat="1" applyFont="1" applyFill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opLeftCell="A3" workbookViewId="0">
      <selection activeCell="B21" sqref="B21"/>
    </sheetView>
  </sheetViews>
  <sheetFormatPr defaultColWidth="12.6328125" defaultRowHeight="15" customHeight="1" x14ac:dyDescent="0.25"/>
  <sheetData>
    <row r="1" spans="1:8" ht="15.75" customHeight="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ht="15.75" customHeight="1" x14ac:dyDescent="0.3">
      <c r="A2" s="2"/>
      <c r="B2" s="2"/>
      <c r="C2" s="2"/>
      <c r="D2" s="2"/>
      <c r="E2" s="2"/>
      <c r="F2" s="2"/>
      <c r="G2" s="2"/>
      <c r="H2" s="2"/>
    </row>
    <row r="3" spans="1:8" ht="67.5" customHeight="1" x14ac:dyDescent="0.3">
      <c r="A3" s="3" t="s">
        <v>1</v>
      </c>
      <c r="B3" s="2"/>
      <c r="C3" s="2"/>
      <c r="D3" s="2"/>
      <c r="E3" s="2"/>
      <c r="F3" s="2"/>
      <c r="G3" s="2"/>
      <c r="H3" s="2"/>
    </row>
    <row r="4" spans="1:8" ht="15.75" customHeight="1" x14ac:dyDescent="0.3">
      <c r="B4" s="2"/>
      <c r="C4" s="2"/>
      <c r="D4" s="2"/>
      <c r="E4" s="2"/>
      <c r="F4" s="2"/>
      <c r="G4" s="2"/>
      <c r="H4" s="2"/>
    </row>
    <row r="5" spans="1:8" ht="15.75" customHeight="1" x14ac:dyDescent="0.3">
      <c r="A5" s="4" t="s">
        <v>2</v>
      </c>
      <c r="B5" s="2"/>
      <c r="C5" s="2"/>
      <c r="D5" s="2"/>
      <c r="E5" s="2"/>
      <c r="F5" s="2"/>
      <c r="G5" s="2"/>
      <c r="H5" s="2"/>
    </row>
    <row r="6" spans="1:8" ht="15.75" customHeight="1" x14ac:dyDescent="0.3">
      <c r="A6" s="2" t="s">
        <v>3</v>
      </c>
      <c r="B6" s="2"/>
      <c r="C6" s="2"/>
      <c r="D6" s="2"/>
      <c r="E6" s="2"/>
      <c r="F6" s="2"/>
      <c r="G6" s="2"/>
      <c r="H6" s="2"/>
    </row>
    <row r="7" spans="1:8" ht="15.75" customHeight="1" x14ac:dyDescent="0.3">
      <c r="A7" s="2" t="s">
        <v>4</v>
      </c>
      <c r="B7" s="2"/>
      <c r="C7" s="2"/>
      <c r="D7" s="2"/>
      <c r="E7" s="2"/>
      <c r="F7" s="2"/>
      <c r="G7" s="2"/>
      <c r="H7" s="2"/>
    </row>
    <row r="8" spans="1:8" ht="15.75" customHeight="1" x14ac:dyDescent="0.3">
      <c r="A8" s="2"/>
      <c r="B8" s="2"/>
      <c r="C8" s="2"/>
      <c r="D8" s="2"/>
      <c r="E8" s="2"/>
      <c r="F8" s="2"/>
      <c r="G8" s="2"/>
      <c r="H8" s="2"/>
    </row>
    <row r="9" spans="1:8" ht="15.75" customHeight="1" x14ac:dyDescent="0.3">
      <c r="A9" s="4" t="s">
        <v>5</v>
      </c>
      <c r="B9" s="2"/>
      <c r="C9" s="2"/>
      <c r="D9" s="2"/>
      <c r="E9" s="2"/>
      <c r="F9" s="2"/>
      <c r="G9" s="2"/>
      <c r="H9" s="2"/>
    </row>
    <row r="10" spans="1:8" ht="15.75" customHeight="1" x14ac:dyDescent="0.3">
      <c r="A10" s="2" t="s">
        <v>6</v>
      </c>
      <c r="B10" s="2"/>
      <c r="C10" s="2"/>
      <c r="D10" s="2"/>
      <c r="E10" s="2"/>
      <c r="F10" s="2"/>
      <c r="G10" s="2"/>
      <c r="H10" s="2"/>
    </row>
    <row r="11" spans="1:8" ht="15.75" customHeight="1" x14ac:dyDescent="0.3">
      <c r="A11" s="2" t="s">
        <v>7</v>
      </c>
      <c r="B11" s="2"/>
      <c r="C11" s="2"/>
      <c r="D11" s="2"/>
      <c r="E11" s="2"/>
      <c r="F11" s="2"/>
      <c r="G11" s="2"/>
      <c r="H11" s="2"/>
    </row>
    <row r="12" spans="1:8" ht="15.75" customHeight="1" x14ac:dyDescent="0.3">
      <c r="A12" s="2" t="s">
        <v>8</v>
      </c>
      <c r="B12" s="2"/>
      <c r="C12" s="2"/>
      <c r="D12" s="2"/>
      <c r="E12" s="2"/>
      <c r="F12" s="2"/>
      <c r="G12" s="2"/>
      <c r="H12" s="2"/>
    </row>
    <row r="13" spans="1:8" ht="15.75" customHeight="1" x14ac:dyDescent="0.3">
      <c r="A13" s="2" t="s">
        <v>9</v>
      </c>
      <c r="B13" s="2"/>
      <c r="C13" s="2"/>
      <c r="D13" s="2"/>
      <c r="E13" s="2"/>
      <c r="F13" s="2"/>
      <c r="G13" s="2"/>
      <c r="H13" s="2"/>
    </row>
    <row r="14" spans="1:8" ht="15.75" customHeight="1" x14ac:dyDescent="0.3">
      <c r="A14" s="2" t="s">
        <v>10</v>
      </c>
      <c r="B14" s="2"/>
      <c r="C14" s="2"/>
      <c r="D14" s="2"/>
      <c r="E14" s="2"/>
      <c r="F14" s="2"/>
      <c r="G14" s="2"/>
      <c r="H14" s="2"/>
    </row>
    <row r="15" spans="1:8" ht="15.75" customHeight="1" x14ac:dyDescent="0.3">
      <c r="A15" s="2" t="s">
        <v>11</v>
      </c>
      <c r="B15" s="2"/>
      <c r="C15" s="2"/>
      <c r="D15" s="2"/>
      <c r="E15" s="2"/>
      <c r="F15" s="2"/>
      <c r="G15" s="2"/>
      <c r="H15" s="2"/>
    </row>
    <row r="16" spans="1:8" ht="15.75" customHeight="1" x14ac:dyDescent="0.3">
      <c r="A16" s="2" t="s">
        <v>12</v>
      </c>
      <c r="B16" s="2"/>
      <c r="C16" s="2"/>
      <c r="D16" s="2"/>
      <c r="E16" s="2"/>
      <c r="F16" s="2"/>
      <c r="G16" s="2"/>
      <c r="H16" s="2"/>
    </row>
    <row r="17" spans="1:8" ht="15.75" customHeight="1" x14ac:dyDescent="0.3">
      <c r="A17" s="2"/>
      <c r="B17" s="2"/>
      <c r="C17" s="2"/>
      <c r="D17" s="2"/>
      <c r="E17" s="2"/>
      <c r="F17" s="2"/>
      <c r="G17" s="2"/>
      <c r="H17" s="2"/>
    </row>
    <row r="18" spans="1:8" ht="15.75" customHeight="1" x14ac:dyDescent="0.3">
      <c r="A18" s="4" t="s">
        <v>13</v>
      </c>
      <c r="B18" s="2"/>
      <c r="C18" s="2"/>
      <c r="D18" s="2"/>
      <c r="E18" s="2"/>
      <c r="F18" s="2"/>
      <c r="G18" s="2"/>
      <c r="H18" s="2"/>
    </row>
    <row r="19" spans="1:8" ht="15.75" customHeight="1" x14ac:dyDescent="0.3">
      <c r="A19" s="2" t="s">
        <v>14</v>
      </c>
      <c r="B19" s="2"/>
      <c r="C19" s="2"/>
      <c r="D19" s="2"/>
      <c r="E19" s="2"/>
      <c r="F19" s="2"/>
      <c r="G19" s="2"/>
      <c r="H19" s="2"/>
    </row>
    <row r="20" spans="1:8" ht="15.75" customHeight="1" x14ac:dyDescent="0.3">
      <c r="A20" s="2"/>
      <c r="B20" s="2"/>
      <c r="C20" s="2"/>
      <c r="D20" s="2"/>
      <c r="E20" s="2"/>
      <c r="F20" s="2"/>
      <c r="G20" s="2"/>
      <c r="H20" s="2"/>
    </row>
    <row r="21" spans="1:8" ht="15.75" customHeight="1" x14ac:dyDescent="0.3">
      <c r="A21" s="2"/>
      <c r="B21" s="2"/>
      <c r="C21" s="2"/>
      <c r="D21" s="2"/>
      <c r="E21" s="2"/>
      <c r="F21" s="2"/>
      <c r="G21" s="13" t="s">
        <v>15</v>
      </c>
      <c r="H21" s="14"/>
    </row>
    <row r="22" spans="1:8" ht="15.75" customHeight="1" x14ac:dyDescent="0.3">
      <c r="A22" s="2"/>
      <c r="B22" s="2"/>
      <c r="C22" s="2"/>
      <c r="D22" s="2"/>
      <c r="E22" s="2"/>
      <c r="F22" s="2"/>
      <c r="G22" s="2"/>
      <c r="H22" s="5" t="s">
        <v>16</v>
      </c>
    </row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G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2.6328125" defaultRowHeight="15" customHeight="1" x14ac:dyDescent="0.25"/>
  <cols>
    <col min="1" max="2" width="21.453125" customWidth="1"/>
    <col min="3" max="3" width="17" style="22" customWidth="1"/>
    <col min="4" max="4" width="5.90625" customWidth="1"/>
    <col min="5" max="5" width="9.453125" customWidth="1"/>
    <col min="6" max="6" width="11.36328125" customWidth="1"/>
    <col min="8" max="8" width="13.90625" customWidth="1"/>
    <col min="9" max="9" width="15.26953125" style="22" customWidth="1"/>
    <col min="10" max="10" width="15.08984375" style="22" customWidth="1"/>
    <col min="11" max="11" width="12.6328125" style="22"/>
  </cols>
  <sheetData>
    <row r="1" spans="1:11" ht="15.75" customHeight="1" x14ac:dyDescent="0.3">
      <c r="A1" s="6" t="s">
        <v>17</v>
      </c>
      <c r="B1" s="6" t="s">
        <v>18</v>
      </c>
      <c r="C1" s="21" t="s">
        <v>19</v>
      </c>
      <c r="D1" s="6" t="s">
        <v>20</v>
      </c>
      <c r="E1" s="6" t="s">
        <v>21</v>
      </c>
      <c r="F1" s="6" t="s">
        <v>22</v>
      </c>
      <c r="G1" s="7" t="s">
        <v>23</v>
      </c>
      <c r="H1" s="6" t="s">
        <v>24</v>
      </c>
      <c r="I1" s="21" t="s">
        <v>25</v>
      </c>
      <c r="J1" s="21" t="s">
        <v>26</v>
      </c>
      <c r="K1" s="21" t="s">
        <v>27</v>
      </c>
    </row>
    <row r="2" spans="1:11" ht="15.75" customHeight="1" x14ac:dyDescent="0.3">
      <c r="A2" s="15">
        <v>44834</v>
      </c>
      <c r="B2" s="15" t="s">
        <v>28</v>
      </c>
      <c r="C2" s="25" t="str">
        <f>VLOOKUP(B2,nama,2,0)</f>
        <v>+628110083240</v>
      </c>
      <c r="D2" s="8" t="s">
        <v>29</v>
      </c>
      <c r="E2" s="8" t="s">
        <v>30</v>
      </c>
      <c r="F2" s="2">
        <v>201</v>
      </c>
      <c r="G2" s="19">
        <v>2000000</v>
      </c>
      <c r="H2" s="20">
        <v>1</v>
      </c>
      <c r="I2" s="23">
        <f>G2*H2</f>
        <v>2000000</v>
      </c>
      <c r="J2" s="24" t="str">
        <f>"00"&amp;A2&amp;"/"&amp;D2&amp;E2&amp;"/"&amp;F2</f>
        <v>0044834/L2C/201</v>
      </c>
      <c r="K2" s="24" t="str">
        <f>F2&amp;"-"&amp;B2</f>
        <v>201-Andika</v>
      </c>
    </row>
    <row r="3" spans="1:11" ht="15.75" customHeight="1" x14ac:dyDescent="0.3">
      <c r="A3" s="15">
        <v>44825</v>
      </c>
      <c r="B3" s="15" t="s">
        <v>31</v>
      </c>
      <c r="C3" s="25" t="str">
        <f>VLOOKUP(B3,nama,2,0)</f>
        <v>+628121234890</v>
      </c>
      <c r="D3" s="10" t="s">
        <v>29</v>
      </c>
      <c r="E3" s="11" t="s">
        <v>30</v>
      </c>
      <c r="F3" s="2">
        <v>202</v>
      </c>
      <c r="G3" s="19">
        <v>2000000</v>
      </c>
      <c r="H3" s="20">
        <v>1</v>
      </c>
      <c r="I3" s="23">
        <f>G3*H3</f>
        <v>2000000</v>
      </c>
      <c r="J3" s="24" t="str">
        <f>"00"&amp;A3&amp;"/"&amp;D3&amp;E3&amp;"/"&amp;F3</f>
        <v>0044825/L2C/202</v>
      </c>
      <c r="K3" s="24" t="str">
        <f>F3&amp;"-"&amp;B3</f>
        <v>202-Michael</v>
      </c>
    </row>
    <row r="4" spans="1:11" ht="15.75" customHeight="1" x14ac:dyDescent="0.3">
      <c r="A4" s="17">
        <v>44823</v>
      </c>
      <c r="B4" s="15" t="s">
        <v>60</v>
      </c>
      <c r="C4" s="25" t="str">
        <f>VLOOKUP(B4,nama,2,0)</f>
        <v>+6285169943560</v>
      </c>
      <c r="D4" s="8" t="s">
        <v>32</v>
      </c>
      <c r="E4" s="11" t="s">
        <v>33</v>
      </c>
      <c r="F4" s="2">
        <v>103</v>
      </c>
      <c r="G4" s="19">
        <v>1500000</v>
      </c>
      <c r="H4" s="20">
        <v>1</v>
      </c>
      <c r="I4" s="23">
        <f>G4*H4</f>
        <v>1500000</v>
      </c>
      <c r="J4" s="24" t="str">
        <f>"00"&amp;A4&amp;"/"&amp;D4&amp;E4&amp;"/"&amp;F4</f>
        <v>0044823/L1A/103</v>
      </c>
      <c r="K4" s="24" t="str">
        <f>F4&amp;"-"&amp;B4</f>
        <v>103-Adit</v>
      </c>
    </row>
    <row r="5" spans="1:11" ht="15.75" customHeight="1" x14ac:dyDescent="0.3">
      <c r="A5" s="15">
        <v>44819</v>
      </c>
      <c r="B5" s="15" t="s">
        <v>63</v>
      </c>
      <c r="C5" s="25" t="str">
        <f>VLOOKUP(B5,nama,2,0)</f>
        <v>+6285890054696</v>
      </c>
      <c r="D5" s="12" t="s">
        <v>34</v>
      </c>
      <c r="E5" s="11" t="s">
        <v>35</v>
      </c>
      <c r="F5" s="2">
        <v>301</v>
      </c>
      <c r="G5" s="19">
        <v>2500000</v>
      </c>
      <c r="H5" s="20">
        <v>1</v>
      </c>
      <c r="I5" s="23">
        <f>G5*H5</f>
        <v>2500000</v>
      </c>
      <c r="J5" s="24" t="str">
        <f>"00"&amp;A5&amp;"/"&amp;D5&amp;E5&amp;"/"&amp;F5</f>
        <v>0044819/L3D/301</v>
      </c>
      <c r="K5" s="24" t="str">
        <f>F5&amp;"-"&amp;B5</f>
        <v>301-Rini</v>
      </c>
    </row>
    <row r="6" spans="1:11" ht="15.75" customHeight="1" x14ac:dyDescent="0.3">
      <c r="A6" s="15">
        <v>44819</v>
      </c>
      <c r="B6" s="15" t="s">
        <v>36</v>
      </c>
      <c r="C6" s="25" t="str">
        <f>VLOOKUP(B6,nama,2,0)</f>
        <v>+6285711874251</v>
      </c>
      <c r="D6" s="11" t="s">
        <v>34</v>
      </c>
      <c r="E6" s="11" t="s">
        <v>35</v>
      </c>
      <c r="F6" s="2">
        <v>304</v>
      </c>
      <c r="G6" s="19">
        <v>2500000</v>
      </c>
      <c r="H6" s="20">
        <v>1</v>
      </c>
      <c r="I6" s="23">
        <f>G6*H6</f>
        <v>2500000</v>
      </c>
      <c r="J6" s="24" t="str">
        <f>"00"&amp;A6&amp;"/"&amp;D6&amp;E6&amp;"/"&amp;F6</f>
        <v>0044819/L3D/304</v>
      </c>
      <c r="K6" s="24" t="str">
        <f>F6&amp;"-"&amp;B6</f>
        <v>304-Fitri</v>
      </c>
    </row>
    <row r="7" spans="1:11" ht="15.75" customHeight="1" x14ac:dyDescent="0.3">
      <c r="A7" s="15">
        <v>44815</v>
      </c>
      <c r="B7" s="15" t="s">
        <v>37</v>
      </c>
      <c r="C7" s="25" t="str">
        <f>VLOOKUP(B7,nama,2,0)</f>
        <v>+6281994640302</v>
      </c>
      <c r="D7" s="8" t="s">
        <v>32</v>
      </c>
      <c r="E7" s="8" t="s">
        <v>33</v>
      </c>
      <c r="F7" s="2">
        <v>105</v>
      </c>
      <c r="G7" s="19">
        <v>1500000</v>
      </c>
      <c r="H7" s="20">
        <v>1</v>
      </c>
      <c r="I7" s="23">
        <f>G7*H7</f>
        <v>1500000</v>
      </c>
      <c r="J7" s="24" t="str">
        <f>"00"&amp;A7&amp;"/"&amp;D7&amp;E7&amp;"/"&amp;F7</f>
        <v>0044815/L1A/105</v>
      </c>
      <c r="K7" s="24" t="str">
        <f>F7&amp;"-"&amp;B7</f>
        <v>105-Agam</v>
      </c>
    </row>
    <row r="8" spans="1:11" ht="15.75" customHeight="1" x14ac:dyDescent="0.3">
      <c r="A8" s="9">
        <v>44813</v>
      </c>
      <c r="B8" s="15" t="s">
        <v>38</v>
      </c>
      <c r="C8" s="25" t="str">
        <f>VLOOKUP(B8,nama,2,0)</f>
        <v>+628119856351</v>
      </c>
      <c r="D8" s="8" t="s">
        <v>34</v>
      </c>
      <c r="E8" s="8" t="s">
        <v>35</v>
      </c>
      <c r="F8" s="2">
        <v>305</v>
      </c>
      <c r="G8" s="19">
        <v>2500000</v>
      </c>
      <c r="H8" s="20">
        <v>1</v>
      </c>
      <c r="I8" s="23">
        <f>G8*H8</f>
        <v>2500000</v>
      </c>
      <c r="J8" s="24" t="str">
        <f>"00"&amp;A8&amp;"/"&amp;D8&amp;E8&amp;"/"&amp;F8</f>
        <v>0044813/L3D/305</v>
      </c>
      <c r="K8" s="24" t="str">
        <f>F8&amp;"-"&amp;B8</f>
        <v>305-Amanda</v>
      </c>
    </row>
    <row r="9" spans="1:11" ht="15.75" customHeight="1" x14ac:dyDescent="0.3">
      <c r="A9" s="15">
        <v>44810</v>
      </c>
      <c r="B9" s="15" t="s">
        <v>72</v>
      </c>
      <c r="C9" s="25" t="str">
        <f>VLOOKUP(B9,nama,2,0)</f>
        <v>+6285734105670</v>
      </c>
      <c r="D9" s="8" t="s">
        <v>29</v>
      </c>
      <c r="E9" s="8" t="s">
        <v>30</v>
      </c>
      <c r="F9" s="2">
        <v>205</v>
      </c>
      <c r="G9" s="19">
        <v>2000000</v>
      </c>
      <c r="H9" s="20">
        <v>1</v>
      </c>
      <c r="I9" s="23">
        <f>G9*H9</f>
        <v>2000000</v>
      </c>
      <c r="J9" s="24" t="str">
        <f>"00"&amp;A9&amp;"/"&amp;D9&amp;E9&amp;"/"&amp;F9</f>
        <v>0044810/L2C/205</v>
      </c>
      <c r="K9" s="24" t="str">
        <f>F9&amp;"-"&amp;B9</f>
        <v>205-Rama</v>
      </c>
    </row>
    <row r="10" spans="1:11" ht="15.75" customHeight="1" x14ac:dyDescent="0.3">
      <c r="A10" s="15">
        <v>44810</v>
      </c>
      <c r="B10" s="15" t="s">
        <v>39</v>
      </c>
      <c r="C10" s="25" t="str">
        <f>VLOOKUP(B10,nama,2,0)</f>
        <v>+6285293394640</v>
      </c>
      <c r="D10" s="8" t="s">
        <v>29</v>
      </c>
      <c r="E10" s="8" t="s">
        <v>30</v>
      </c>
      <c r="F10" s="2">
        <v>204</v>
      </c>
      <c r="G10" s="19">
        <v>2000000</v>
      </c>
      <c r="H10" s="20">
        <v>1</v>
      </c>
      <c r="I10" s="23">
        <f>G10*H10</f>
        <v>2000000</v>
      </c>
      <c r="J10" s="24" t="str">
        <f>"00"&amp;A10&amp;"/"&amp;D10&amp;E10&amp;"/"&amp;F10</f>
        <v>0044810/L2C/204</v>
      </c>
      <c r="K10" s="24" t="str">
        <f>F10&amp;"-"&amp;B10</f>
        <v>204-Putra</v>
      </c>
    </row>
    <row r="11" spans="1:11" ht="15.75" customHeight="1" x14ac:dyDescent="0.3">
      <c r="A11" s="15">
        <v>44807</v>
      </c>
      <c r="B11" s="15" t="s">
        <v>40</v>
      </c>
      <c r="C11" s="25" t="str">
        <f>VLOOKUP(B11,nama,2,0)</f>
        <v>+6281909964343</v>
      </c>
      <c r="D11" s="8" t="s">
        <v>32</v>
      </c>
      <c r="E11" s="8" t="s">
        <v>33</v>
      </c>
      <c r="F11" s="2">
        <v>101</v>
      </c>
      <c r="G11" s="19">
        <v>1500000</v>
      </c>
      <c r="H11" s="20">
        <v>1</v>
      </c>
      <c r="I11" s="23">
        <f>G11*H11</f>
        <v>1500000</v>
      </c>
      <c r="J11" s="24" t="str">
        <f>"00"&amp;A11&amp;"/"&amp;D11&amp;E11&amp;"/"&amp;F11</f>
        <v>0044807/L1A/101</v>
      </c>
      <c r="K11" s="24" t="str">
        <f>F11&amp;"-"&amp;B11</f>
        <v>101-Bagas</v>
      </c>
    </row>
    <row r="12" spans="1:11" ht="15.75" customHeight="1" x14ac:dyDescent="0.3">
      <c r="A12" s="9">
        <v>44804</v>
      </c>
      <c r="B12" s="15" t="s">
        <v>28</v>
      </c>
      <c r="C12" s="25" t="str">
        <f>VLOOKUP(B12,nama,2,0)</f>
        <v>+628110083240</v>
      </c>
      <c r="D12" s="8" t="s">
        <v>29</v>
      </c>
      <c r="E12" s="8" t="s">
        <v>30</v>
      </c>
      <c r="F12" s="2">
        <v>201</v>
      </c>
      <c r="G12" s="19">
        <v>2000000</v>
      </c>
      <c r="H12" s="20">
        <v>1</v>
      </c>
      <c r="I12" s="23">
        <f>G12*H12</f>
        <v>2000000</v>
      </c>
      <c r="J12" s="24" t="str">
        <f>"00"&amp;A12&amp;"/"&amp;D12&amp;E12&amp;"/"&amp;F12</f>
        <v>0044804/L2C/201</v>
      </c>
      <c r="K12" s="24" t="str">
        <f>F12&amp;"-"&amp;B12</f>
        <v>201-Andika</v>
      </c>
    </row>
    <row r="13" spans="1:11" ht="15.75" customHeight="1" x14ac:dyDescent="0.3">
      <c r="A13" s="9">
        <v>44801</v>
      </c>
      <c r="B13" s="15" t="s">
        <v>41</v>
      </c>
      <c r="C13" s="25" t="str">
        <f>VLOOKUP(B13,nama,2,0)</f>
        <v>+6281904934551</v>
      </c>
      <c r="D13" s="8" t="s">
        <v>32</v>
      </c>
      <c r="E13" s="8" t="s">
        <v>42</v>
      </c>
      <c r="F13" s="2">
        <v>102</v>
      </c>
      <c r="G13" s="19">
        <v>1750000</v>
      </c>
      <c r="H13" s="20">
        <v>1</v>
      </c>
      <c r="I13" s="23">
        <f>G13*H13</f>
        <v>1750000</v>
      </c>
      <c r="J13" s="24" t="str">
        <f>"00"&amp;A13&amp;"/"&amp;D13&amp;E13&amp;"/"&amp;F13</f>
        <v>0044801/L1B/102</v>
      </c>
      <c r="K13" s="24" t="str">
        <f>F13&amp;"-"&amp;B13</f>
        <v>102-Dimas</v>
      </c>
    </row>
    <row r="14" spans="1:11" ht="15.75" customHeight="1" x14ac:dyDescent="0.3">
      <c r="A14" s="9">
        <v>44792</v>
      </c>
      <c r="B14" s="15" t="s">
        <v>49</v>
      </c>
      <c r="C14" s="25" t="str">
        <f>VLOOKUP(B14,nama,2,0)</f>
        <v>+6282134088090</v>
      </c>
      <c r="D14" s="8" t="s">
        <v>29</v>
      </c>
      <c r="E14" s="8" t="s">
        <v>30</v>
      </c>
      <c r="F14" s="2">
        <v>202</v>
      </c>
      <c r="G14" s="19">
        <v>2000000</v>
      </c>
      <c r="H14" s="20">
        <v>1</v>
      </c>
      <c r="I14" s="23">
        <f>G14*H14</f>
        <v>2000000</v>
      </c>
      <c r="J14" s="24" t="str">
        <f>"00"&amp;A14&amp;"/"&amp;D14&amp;E14&amp;"/"&amp;F14</f>
        <v>0044792/L2C/202</v>
      </c>
      <c r="K14" s="24" t="str">
        <f>F14&amp;"-"&amp;B14</f>
        <v>202-Nugroho</v>
      </c>
    </row>
    <row r="15" spans="1:11" ht="15.75" customHeight="1" x14ac:dyDescent="0.3">
      <c r="A15" s="9">
        <v>44791</v>
      </c>
      <c r="B15" s="15" t="s">
        <v>43</v>
      </c>
      <c r="C15" s="25" t="str">
        <f>VLOOKUP(B15,nama,2,0)</f>
        <v>+628124670999</v>
      </c>
      <c r="D15" s="8" t="s">
        <v>34</v>
      </c>
      <c r="E15" s="8" t="s">
        <v>35</v>
      </c>
      <c r="F15" s="2">
        <v>303</v>
      </c>
      <c r="G15" s="19">
        <v>2500000</v>
      </c>
      <c r="H15" s="20">
        <v>3</v>
      </c>
      <c r="I15" s="23">
        <f>G15*H15</f>
        <v>7500000</v>
      </c>
      <c r="J15" s="24" t="str">
        <f>"00"&amp;A15&amp;"/"&amp;D15&amp;E15&amp;"/"&amp;F15</f>
        <v>0044791/L3D/303</v>
      </c>
      <c r="K15" s="24" t="str">
        <f>F15&amp;"-"&amp;B15</f>
        <v>303-Diana</v>
      </c>
    </row>
    <row r="16" spans="1:11" ht="15.75" customHeight="1" x14ac:dyDescent="0.3">
      <c r="A16" s="9">
        <v>44785</v>
      </c>
      <c r="B16" s="15" t="s">
        <v>44</v>
      </c>
      <c r="C16" s="25" t="str">
        <f>VLOOKUP(B16,nama,2,0)</f>
        <v>+628551917774</v>
      </c>
      <c r="D16" s="8" t="s">
        <v>32</v>
      </c>
      <c r="E16" s="8" t="s">
        <v>42</v>
      </c>
      <c r="F16" s="2">
        <v>106</v>
      </c>
      <c r="G16" s="19">
        <v>1750000</v>
      </c>
      <c r="H16" s="20">
        <v>1</v>
      </c>
      <c r="I16" s="23">
        <f>G16*H16</f>
        <v>1750000</v>
      </c>
      <c r="J16" s="24" t="str">
        <f>"00"&amp;A16&amp;"/"&amp;D16&amp;E16&amp;"/"&amp;F16</f>
        <v>0044785/L1B/106</v>
      </c>
      <c r="K16" s="24" t="str">
        <f>F16&amp;"-"&amp;B16</f>
        <v>106-Reza</v>
      </c>
    </row>
    <row r="17" spans="1:11" ht="15.75" customHeight="1" x14ac:dyDescent="0.3">
      <c r="A17" s="15">
        <v>44782</v>
      </c>
      <c r="B17" s="15" t="s">
        <v>51</v>
      </c>
      <c r="C17" s="25" t="str">
        <f>VLOOKUP(B17,nama,2,0)</f>
        <v>+6285691334640</v>
      </c>
      <c r="D17" s="8" t="s">
        <v>32</v>
      </c>
      <c r="E17" s="8" t="s">
        <v>42</v>
      </c>
      <c r="F17" s="2">
        <v>104</v>
      </c>
      <c r="G17" s="19">
        <v>1750000</v>
      </c>
      <c r="H17" s="20">
        <v>1</v>
      </c>
      <c r="I17" s="23">
        <f>G17*H17</f>
        <v>1750000</v>
      </c>
      <c r="J17" s="24" t="str">
        <f>"00"&amp;A17&amp;"/"&amp;D17&amp;E17&amp;"/"&amp;F17</f>
        <v>0044782/L1B/104</v>
      </c>
      <c r="K17" s="24" t="str">
        <f>F17&amp;"-"&amp;B17</f>
        <v>104-Ahmad</v>
      </c>
    </row>
    <row r="18" spans="1:11" ht="15.75" customHeight="1" x14ac:dyDescent="0.3">
      <c r="A18" s="18">
        <v>44782</v>
      </c>
      <c r="B18" s="15" t="s">
        <v>38</v>
      </c>
      <c r="C18" s="25" t="str">
        <f>VLOOKUP(B18,nama,2,0)</f>
        <v>+628119856351</v>
      </c>
      <c r="D18" s="8" t="s">
        <v>34</v>
      </c>
      <c r="E18" s="8" t="s">
        <v>35</v>
      </c>
      <c r="F18" s="2">
        <v>305</v>
      </c>
      <c r="G18" s="19">
        <v>2500000</v>
      </c>
      <c r="H18" s="20">
        <v>1</v>
      </c>
      <c r="I18" s="23">
        <f>G18*H18</f>
        <v>2500000</v>
      </c>
      <c r="J18" s="24" t="str">
        <f>"00"&amp;A18&amp;"/"&amp;D18&amp;E18&amp;"/"&amp;F18</f>
        <v>0044782/L3D/305</v>
      </c>
      <c r="K18" s="24" t="str">
        <f>F18&amp;"-"&amp;B18</f>
        <v>305-Amanda</v>
      </c>
    </row>
    <row r="19" spans="1:11" ht="15.75" customHeight="1" x14ac:dyDescent="0.3">
      <c r="A19" s="16">
        <v>44777</v>
      </c>
      <c r="B19" s="15" t="s">
        <v>45</v>
      </c>
      <c r="C19" s="25" t="str">
        <f>VLOOKUP(B19,nama,2,0)</f>
        <v>+6285156224546</v>
      </c>
      <c r="D19" s="8" t="s">
        <v>34</v>
      </c>
      <c r="E19" s="8" t="s">
        <v>35</v>
      </c>
      <c r="F19" s="2">
        <v>301</v>
      </c>
      <c r="G19" s="19">
        <v>2500000</v>
      </c>
      <c r="H19" s="20">
        <v>1</v>
      </c>
      <c r="I19" s="23">
        <f>G19*H19</f>
        <v>2500000</v>
      </c>
      <c r="J19" s="24" t="str">
        <f>"00"&amp;A19&amp;"/"&amp;D19&amp;E19&amp;"/"&amp;F19</f>
        <v>0044777/L3D/301</v>
      </c>
      <c r="K19" s="24" t="str">
        <f>F19&amp;"-"&amp;B19</f>
        <v>301-Putri</v>
      </c>
    </row>
    <row r="20" spans="1:11" ht="15.75" customHeight="1" x14ac:dyDescent="0.3">
      <c r="A20" s="9">
        <v>44774</v>
      </c>
      <c r="B20" s="15" t="s">
        <v>46</v>
      </c>
      <c r="C20" s="25" t="str">
        <f>VLOOKUP(B20,nama,2,0)</f>
        <v>+6285822904832</v>
      </c>
      <c r="D20" s="8" t="s">
        <v>32</v>
      </c>
      <c r="E20" s="8" t="s">
        <v>42</v>
      </c>
      <c r="F20" s="2">
        <v>101</v>
      </c>
      <c r="G20" s="19">
        <v>1750000</v>
      </c>
      <c r="H20" s="20">
        <v>1</v>
      </c>
      <c r="I20" s="23">
        <f>G20*H20</f>
        <v>1750000</v>
      </c>
      <c r="J20" s="24" t="str">
        <f>"00"&amp;A20&amp;"/"&amp;D20&amp;E20&amp;"/"&amp;F20</f>
        <v>0044774/L1B/101</v>
      </c>
      <c r="K20" s="24" t="str">
        <f>F20&amp;"-"&amp;B20</f>
        <v>101-Dani</v>
      </c>
    </row>
    <row r="21" spans="1:11" ht="15.75" customHeight="1" x14ac:dyDescent="0.3">
      <c r="A21" s="9">
        <v>44773</v>
      </c>
      <c r="B21" s="15" t="s">
        <v>28</v>
      </c>
      <c r="C21" s="25" t="str">
        <f>VLOOKUP(B21,nama,2,0)</f>
        <v>+628110083240</v>
      </c>
      <c r="D21" s="8" t="s">
        <v>29</v>
      </c>
      <c r="E21" s="8" t="s">
        <v>30</v>
      </c>
      <c r="F21" s="2">
        <v>201</v>
      </c>
      <c r="G21" s="19">
        <v>2000000</v>
      </c>
      <c r="H21" s="20">
        <v>1</v>
      </c>
      <c r="I21" s="23">
        <f>G21*H21</f>
        <v>2000000</v>
      </c>
      <c r="J21" s="24" t="str">
        <f>"00"&amp;A21&amp;"/"&amp;D21&amp;E21&amp;"/"&amp;F21</f>
        <v>0044773/L2C/201</v>
      </c>
      <c r="K21" s="24" t="str">
        <f>F21&amp;"-"&amp;B21</f>
        <v>201-Andika</v>
      </c>
    </row>
    <row r="22" spans="1:11" ht="15.75" customHeight="1" x14ac:dyDescent="0.3">
      <c r="A22" s="9">
        <v>44766</v>
      </c>
      <c r="B22" s="15" t="s">
        <v>93</v>
      </c>
      <c r="C22" s="25" t="str">
        <f>VLOOKUP(B22,nama,2,0)</f>
        <v>+6282157212140</v>
      </c>
      <c r="D22" s="8" t="s">
        <v>34</v>
      </c>
      <c r="E22" s="8" t="s">
        <v>35</v>
      </c>
      <c r="F22" s="2">
        <v>304</v>
      </c>
      <c r="G22" s="19">
        <v>2500000</v>
      </c>
      <c r="H22" s="20">
        <v>1</v>
      </c>
      <c r="I22" s="23">
        <f>G22*H22</f>
        <v>2500000</v>
      </c>
      <c r="J22" s="24" t="str">
        <f>"00"&amp;A22&amp;"/"&amp;D22&amp;E22&amp;"/"&amp;F22</f>
        <v>0044766/L3D/304</v>
      </c>
      <c r="K22" s="24" t="str">
        <f>F22&amp;"-"&amp;B22</f>
        <v>304-Dewi</v>
      </c>
    </row>
    <row r="23" spans="1:11" ht="15.75" customHeight="1" x14ac:dyDescent="0.3">
      <c r="A23" s="9">
        <v>44766</v>
      </c>
      <c r="B23" s="15" t="s">
        <v>47</v>
      </c>
      <c r="C23" s="25" t="str">
        <f>VLOOKUP(B23,nama,2,0)</f>
        <v>+6285156384850</v>
      </c>
      <c r="D23" s="8" t="s">
        <v>29</v>
      </c>
      <c r="E23" s="8" t="s">
        <v>30</v>
      </c>
      <c r="F23" s="2">
        <v>203</v>
      </c>
      <c r="G23" s="19">
        <v>2000000</v>
      </c>
      <c r="H23" s="20">
        <v>1</v>
      </c>
      <c r="I23" s="23">
        <f>G23*H23</f>
        <v>2000000</v>
      </c>
      <c r="J23" s="24" t="str">
        <f>"00"&amp;A23&amp;"/"&amp;D23&amp;E23&amp;"/"&amp;F23</f>
        <v>0044766/L2C/203</v>
      </c>
      <c r="K23" s="24" t="str">
        <f>F23&amp;"-"&amp;B23</f>
        <v>203-Rizki</v>
      </c>
    </row>
    <row r="24" spans="1:11" ht="15.75" customHeight="1" x14ac:dyDescent="0.3">
      <c r="A24" s="9">
        <v>44764</v>
      </c>
      <c r="B24" s="15" t="s">
        <v>48</v>
      </c>
      <c r="C24" s="25" t="str">
        <f>VLOOKUP(B24,nama,2,0)</f>
        <v>+6281992904319</v>
      </c>
      <c r="D24" s="8" t="s">
        <v>34</v>
      </c>
      <c r="E24" s="8" t="s">
        <v>35</v>
      </c>
      <c r="F24" s="2">
        <v>302</v>
      </c>
      <c r="G24" s="19">
        <v>2500000</v>
      </c>
      <c r="H24" s="20">
        <v>3</v>
      </c>
      <c r="I24" s="23">
        <f>G24*H24</f>
        <v>7500000</v>
      </c>
      <c r="J24" s="24" t="str">
        <f>"00"&amp;A24&amp;"/"&amp;D24&amp;E24&amp;"/"&amp;F24</f>
        <v>0044764/L3D/302</v>
      </c>
      <c r="K24" s="24" t="str">
        <f>F24&amp;"-"&amp;B24</f>
        <v>302-Tika</v>
      </c>
    </row>
    <row r="25" spans="1:11" ht="15.75" customHeight="1" x14ac:dyDescent="0.3">
      <c r="A25" s="17">
        <v>44761</v>
      </c>
      <c r="B25" s="15" t="s">
        <v>49</v>
      </c>
      <c r="C25" s="25" t="str">
        <f>VLOOKUP(B25,nama,2,0)</f>
        <v>+6282134088090</v>
      </c>
      <c r="D25" s="8" t="s">
        <v>29</v>
      </c>
      <c r="E25" s="8" t="s">
        <v>30</v>
      </c>
      <c r="F25" s="2">
        <v>202</v>
      </c>
      <c r="G25" s="19">
        <v>2000000</v>
      </c>
      <c r="H25" s="20">
        <v>1</v>
      </c>
      <c r="I25" s="23">
        <f>G25*H25</f>
        <v>2000000</v>
      </c>
      <c r="J25" s="24" t="str">
        <f>"00"&amp;A25&amp;"/"&amp;D25&amp;E25&amp;"/"&amp;F25</f>
        <v>0044761/L2C/202</v>
      </c>
      <c r="K25" s="24" t="str">
        <f>F25&amp;"-"&amp;B25</f>
        <v>202-Nugroho</v>
      </c>
    </row>
    <row r="26" spans="1:11" ht="15.75" customHeight="1" x14ac:dyDescent="0.3">
      <c r="A26" s="9">
        <v>44760</v>
      </c>
      <c r="B26" s="15" t="s">
        <v>43</v>
      </c>
      <c r="C26" s="25" t="str">
        <f>VLOOKUP(B26,nama,2,0)</f>
        <v>+628124670999</v>
      </c>
      <c r="D26" s="8" t="s">
        <v>34</v>
      </c>
      <c r="E26" s="8" t="s">
        <v>35</v>
      </c>
      <c r="F26" s="2">
        <v>303</v>
      </c>
      <c r="G26" s="19">
        <v>2500000</v>
      </c>
      <c r="H26" s="20">
        <v>1</v>
      </c>
      <c r="I26" s="23">
        <f>G26*H26</f>
        <v>2500000</v>
      </c>
      <c r="J26" s="24" t="str">
        <f>"00"&amp;A26&amp;"/"&amp;D26&amp;E26&amp;"/"&amp;F26</f>
        <v>0044760/L3D/303</v>
      </c>
      <c r="K26" s="24" t="str">
        <f>F26&amp;"-"&amp;B26</f>
        <v>303-Diana</v>
      </c>
    </row>
    <row r="27" spans="1:11" ht="15.75" customHeight="1" x14ac:dyDescent="0.3">
      <c r="A27" s="9">
        <v>44760</v>
      </c>
      <c r="B27" s="15" t="s">
        <v>100</v>
      </c>
      <c r="C27" s="25" t="str">
        <f>VLOOKUP(B27,nama,2,0)</f>
        <v>+6281242214391</v>
      </c>
      <c r="D27" s="8" t="s">
        <v>34</v>
      </c>
      <c r="E27" s="8" t="s">
        <v>35</v>
      </c>
      <c r="F27" s="2">
        <v>306</v>
      </c>
      <c r="G27" s="19">
        <v>2500000</v>
      </c>
      <c r="H27" s="20">
        <v>6</v>
      </c>
      <c r="I27" s="23">
        <f>G27*H27</f>
        <v>15000000</v>
      </c>
      <c r="J27" s="24" t="str">
        <f>"00"&amp;A27&amp;"/"&amp;D27&amp;E27&amp;"/"&amp;F27</f>
        <v>0044760/L3D/306</v>
      </c>
      <c r="K27" s="24" t="str">
        <f>F27&amp;"-"&amp;B27</f>
        <v>306-Citra</v>
      </c>
    </row>
    <row r="28" spans="1:11" ht="15.75" customHeight="1" x14ac:dyDescent="0.3">
      <c r="A28" s="15">
        <v>44757</v>
      </c>
      <c r="B28" s="15" t="s">
        <v>50</v>
      </c>
      <c r="C28" s="25" t="str">
        <f>VLOOKUP(B28,nama,2,0)</f>
        <v>+6285288906670</v>
      </c>
      <c r="D28" s="8" t="s">
        <v>32</v>
      </c>
      <c r="E28" s="8" t="s">
        <v>33</v>
      </c>
      <c r="F28" s="2">
        <v>103</v>
      </c>
      <c r="G28" s="19">
        <v>1500000</v>
      </c>
      <c r="H28" s="20">
        <v>1</v>
      </c>
      <c r="I28" s="23">
        <f>G28*H28</f>
        <v>1500000</v>
      </c>
      <c r="J28" s="24" t="str">
        <f>"00"&amp;A28&amp;"/"&amp;D28&amp;E28&amp;"/"&amp;F28</f>
        <v>0044757/L1A/103</v>
      </c>
      <c r="K28" s="24" t="str">
        <f>F28&amp;"-"&amp;B28</f>
        <v>103-Bagus</v>
      </c>
    </row>
    <row r="29" spans="1:11" ht="15.75" customHeight="1" x14ac:dyDescent="0.3">
      <c r="A29" s="9">
        <v>44751</v>
      </c>
      <c r="B29" s="15" t="s">
        <v>51</v>
      </c>
      <c r="C29" s="25" t="str">
        <f>VLOOKUP(B29,nama,2,0)</f>
        <v>+6285691334640</v>
      </c>
      <c r="D29" s="8" t="s">
        <v>32</v>
      </c>
      <c r="E29" s="8" t="s">
        <v>42</v>
      </c>
      <c r="F29" s="2">
        <v>104</v>
      </c>
      <c r="G29" s="19">
        <v>1750000</v>
      </c>
      <c r="H29" s="20">
        <v>1</v>
      </c>
      <c r="I29" s="23">
        <f>G29*H29</f>
        <v>1750000</v>
      </c>
      <c r="J29" s="24" t="str">
        <f>"00"&amp;A29&amp;"/"&amp;D29&amp;E29&amp;"/"&amp;F29</f>
        <v>0044751/L1B/104</v>
      </c>
      <c r="K29" s="24" t="str">
        <f>F29&amp;"-"&amp;B29</f>
        <v>104-Ahmad</v>
      </c>
    </row>
    <row r="30" spans="1:11" ht="15.75" customHeight="1" x14ac:dyDescent="0.3">
      <c r="A30" s="9">
        <v>44747</v>
      </c>
      <c r="B30" s="15" t="s">
        <v>105</v>
      </c>
      <c r="C30" s="25" t="str">
        <f>VLOOKUP(B30,nama,2,0)</f>
        <v>+6281959903120</v>
      </c>
      <c r="D30" s="8" t="s">
        <v>32</v>
      </c>
      <c r="E30" s="8" t="s">
        <v>42</v>
      </c>
      <c r="F30" s="2">
        <v>106</v>
      </c>
      <c r="G30" s="19">
        <v>1750000</v>
      </c>
      <c r="H30" s="20">
        <v>1</v>
      </c>
      <c r="I30" s="23">
        <f>G30*H30</f>
        <v>1750000</v>
      </c>
      <c r="J30" s="24" t="str">
        <f>"00"&amp;A30&amp;"/"&amp;D30&amp;E30&amp;"/"&amp;F30</f>
        <v>0044747/L1B/106</v>
      </c>
      <c r="K30" s="24" t="str">
        <f>F30&amp;"-"&amp;B30</f>
        <v>106-Hadi</v>
      </c>
    </row>
    <row r="31" spans="1:11" ht="15.75" customHeight="1" x14ac:dyDescent="0.3">
      <c r="A31" s="9">
        <v>44746</v>
      </c>
      <c r="B31" s="15" t="s">
        <v>52</v>
      </c>
      <c r="C31" s="25" t="str">
        <f>VLOOKUP(B31,nama,2,0)</f>
        <v>+6285825493938</v>
      </c>
      <c r="D31" s="8" t="s">
        <v>32</v>
      </c>
      <c r="E31" s="8" t="s">
        <v>42</v>
      </c>
      <c r="F31" s="2">
        <v>102</v>
      </c>
      <c r="G31" s="19">
        <v>1750000</v>
      </c>
      <c r="H31" s="20">
        <v>3</v>
      </c>
      <c r="I31" s="23">
        <f>G31*H31</f>
        <v>5250000</v>
      </c>
      <c r="J31" s="24" t="str">
        <f>"00"&amp;A31&amp;"/"&amp;D31&amp;E31&amp;"/"&amp;F31</f>
        <v>0044746/L1B/102</v>
      </c>
      <c r="K31" s="24" t="str">
        <f>F31&amp;"-"&amp;B31</f>
        <v>102-Angga</v>
      </c>
    </row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>
      <selection activeCell="B3" sqref="B3"/>
    </sheetView>
  </sheetViews>
  <sheetFormatPr defaultColWidth="12.6328125" defaultRowHeight="15" customHeight="1" x14ac:dyDescent="0.25"/>
  <cols>
    <col min="3" max="3" width="14" customWidth="1"/>
  </cols>
  <sheetData>
    <row r="1" spans="1:3" ht="15.75" customHeight="1" x14ac:dyDescent="0.3">
      <c r="A1" s="4" t="s">
        <v>53</v>
      </c>
      <c r="B1" s="4" t="s">
        <v>18</v>
      </c>
      <c r="C1" s="4" t="s">
        <v>54</v>
      </c>
    </row>
    <row r="2" spans="1:3" ht="15.75" customHeight="1" x14ac:dyDescent="0.3">
      <c r="A2" s="2" t="s">
        <v>55</v>
      </c>
      <c r="B2" s="2" t="s">
        <v>28</v>
      </c>
      <c r="C2" s="2" t="s">
        <v>56</v>
      </c>
    </row>
    <row r="3" spans="1:3" ht="15.75" customHeight="1" x14ac:dyDescent="0.3">
      <c r="A3" s="2" t="s">
        <v>57</v>
      </c>
      <c r="B3" s="2" t="s">
        <v>31</v>
      </c>
      <c r="C3" s="2" t="s">
        <v>58</v>
      </c>
    </row>
    <row r="4" spans="1:3" ht="15.75" customHeight="1" x14ac:dyDescent="0.3">
      <c r="A4" s="2" t="s">
        <v>59</v>
      </c>
      <c r="B4" s="2" t="s">
        <v>60</v>
      </c>
      <c r="C4" s="2" t="s">
        <v>61</v>
      </c>
    </row>
    <row r="5" spans="1:3" ht="15.75" customHeight="1" x14ac:dyDescent="0.3">
      <c r="A5" s="2" t="s">
        <v>62</v>
      </c>
      <c r="B5" s="2" t="s">
        <v>63</v>
      </c>
      <c r="C5" s="2" t="s">
        <v>64</v>
      </c>
    </row>
    <row r="6" spans="1:3" ht="15.75" customHeight="1" x14ac:dyDescent="0.3">
      <c r="A6" s="2" t="s">
        <v>65</v>
      </c>
      <c r="B6" s="2" t="s">
        <v>36</v>
      </c>
      <c r="C6" s="2" t="s">
        <v>66</v>
      </c>
    </row>
    <row r="7" spans="1:3" ht="15.75" customHeight="1" x14ac:dyDescent="0.3">
      <c r="A7" s="2" t="s">
        <v>67</v>
      </c>
      <c r="B7" s="2" t="s">
        <v>37</v>
      </c>
      <c r="C7" s="2" t="s">
        <v>68</v>
      </c>
    </row>
    <row r="8" spans="1:3" ht="15.75" customHeight="1" x14ac:dyDescent="0.3">
      <c r="A8" s="2" t="s">
        <v>69</v>
      </c>
      <c r="B8" s="2" t="s">
        <v>38</v>
      </c>
      <c r="C8" s="2" t="s">
        <v>70</v>
      </c>
    </row>
    <row r="9" spans="1:3" ht="15.75" customHeight="1" x14ac:dyDescent="0.3">
      <c r="A9" s="2" t="s">
        <v>71</v>
      </c>
      <c r="B9" s="2" t="s">
        <v>72</v>
      </c>
      <c r="C9" s="2" t="s">
        <v>73</v>
      </c>
    </row>
    <row r="10" spans="1:3" ht="15.75" customHeight="1" x14ac:dyDescent="0.3">
      <c r="A10" s="2" t="s">
        <v>74</v>
      </c>
      <c r="B10" s="2" t="s">
        <v>39</v>
      </c>
      <c r="C10" s="2" t="s">
        <v>75</v>
      </c>
    </row>
    <row r="11" spans="1:3" ht="15.75" customHeight="1" x14ac:dyDescent="0.3">
      <c r="A11" s="2" t="s">
        <v>76</v>
      </c>
      <c r="B11" s="2" t="s">
        <v>40</v>
      </c>
      <c r="C11" s="2" t="s">
        <v>77</v>
      </c>
    </row>
    <row r="12" spans="1:3" ht="15.75" customHeight="1" x14ac:dyDescent="0.3">
      <c r="A12" s="2" t="s">
        <v>78</v>
      </c>
      <c r="B12" s="2" t="s">
        <v>41</v>
      </c>
      <c r="C12" s="2" t="s">
        <v>79</v>
      </c>
    </row>
    <row r="13" spans="1:3" ht="15.75" customHeight="1" x14ac:dyDescent="0.3">
      <c r="A13" s="2" t="s">
        <v>80</v>
      </c>
      <c r="B13" s="2" t="s">
        <v>49</v>
      </c>
      <c r="C13" s="2" t="s">
        <v>81</v>
      </c>
    </row>
    <row r="14" spans="1:3" ht="15.75" customHeight="1" x14ac:dyDescent="0.3">
      <c r="A14" s="2" t="s">
        <v>82</v>
      </c>
      <c r="B14" s="2" t="s">
        <v>43</v>
      </c>
      <c r="C14" s="2" t="s">
        <v>83</v>
      </c>
    </row>
    <row r="15" spans="1:3" ht="15.75" customHeight="1" x14ac:dyDescent="0.3">
      <c r="A15" s="2" t="s">
        <v>84</v>
      </c>
      <c r="B15" s="2" t="s">
        <v>44</v>
      </c>
      <c r="C15" s="2" t="s">
        <v>85</v>
      </c>
    </row>
    <row r="16" spans="1:3" ht="15.75" customHeight="1" x14ac:dyDescent="0.3">
      <c r="A16" s="2" t="s">
        <v>86</v>
      </c>
      <c r="B16" s="2" t="s">
        <v>51</v>
      </c>
      <c r="C16" s="2" t="s">
        <v>87</v>
      </c>
    </row>
    <row r="17" spans="1:3" ht="15.75" customHeight="1" x14ac:dyDescent="0.3">
      <c r="A17" s="2" t="s">
        <v>88</v>
      </c>
      <c r="B17" s="2" t="s">
        <v>45</v>
      </c>
      <c r="C17" s="2" t="s">
        <v>89</v>
      </c>
    </row>
    <row r="18" spans="1:3" ht="15.75" customHeight="1" x14ac:dyDescent="0.3">
      <c r="A18" s="2" t="s">
        <v>90</v>
      </c>
      <c r="B18" s="2" t="s">
        <v>46</v>
      </c>
      <c r="C18" s="2" t="s">
        <v>91</v>
      </c>
    </row>
    <row r="19" spans="1:3" ht="15.75" customHeight="1" x14ac:dyDescent="0.3">
      <c r="A19" s="2" t="s">
        <v>92</v>
      </c>
      <c r="B19" s="2" t="s">
        <v>93</v>
      </c>
      <c r="C19" s="2" t="s">
        <v>94</v>
      </c>
    </row>
    <row r="20" spans="1:3" ht="15.75" customHeight="1" x14ac:dyDescent="0.3">
      <c r="A20" s="2" t="s">
        <v>95</v>
      </c>
      <c r="B20" s="2" t="s">
        <v>47</v>
      </c>
      <c r="C20" s="2" t="s">
        <v>96</v>
      </c>
    </row>
    <row r="21" spans="1:3" ht="15.75" customHeight="1" x14ac:dyDescent="0.3">
      <c r="A21" s="2" t="s">
        <v>97</v>
      </c>
      <c r="B21" s="2" t="s">
        <v>48</v>
      </c>
      <c r="C21" s="2" t="s">
        <v>98</v>
      </c>
    </row>
    <row r="22" spans="1:3" ht="15.75" customHeight="1" x14ac:dyDescent="0.3">
      <c r="A22" s="2" t="s">
        <v>99</v>
      </c>
      <c r="B22" s="2" t="s">
        <v>100</v>
      </c>
      <c r="C22" s="2" t="s">
        <v>101</v>
      </c>
    </row>
    <row r="23" spans="1:3" ht="15.75" customHeight="1" x14ac:dyDescent="0.3">
      <c r="A23" s="2" t="s">
        <v>102</v>
      </c>
      <c r="B23" s="2" t="s">
        <v>50</v>
      </c>
      <c r="C23" s="2" t="s">
        <v>103</v>
      </c>
    </row>
    <row r="24" spans="1:3" ht="15.75" customHeight="1" x14ac:dyDescent="0.3">
      <c r="A24" s="2" t="s">
        <v>104</v>
      </c>
      <c r="B24" s="2" t="s">
        <v>105</v>
      </c>
      <c r="C24" s="2" t="s">
        <v>106</v>
      </c>
    </row>
    <row r="25" spans="1:3" ht="15.75" customHeight="1" x14ac:dyDescent="0.3">
      <c r="A25" s="2" t="s">
        <v>107</v>
      </c>
      <c r="B25" s="2" t="s">
        <v>52</v>
      </c>
      <c r="C25" s="2" t="s">
        <v>108</v>
      </c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Notes</vt:lpstr>
      <vt:lpstr>Transaksi Q3</vt:lpstr>
      <vt:lpstr>Data Penyewa</vt:lpstr>
      <vt:lpstr>nama</vt:lpstr>
      <vt:lpstr>tb_acuan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ALIYA NURAINI</cp:lastModifiedBy>
  <dcterms:modified xsi:type="dcterms:W3CDTF">2023-05-10T19:22:01Z</dcterms:modified>
</cp:coreProperties>
</file>